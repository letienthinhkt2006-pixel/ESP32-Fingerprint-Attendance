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ai_hoc\PhatTrienUngDungDIDong\"/>
    </mc:Choice>
  </mc:AlternateContent>
  <xr:revisionPtr revIDLastSave="0" documentId="13_ncr:1_{47644224-CE2E-4F09-8AB1-6F2E33CDC5F9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Quản lý tiến độ" sheetId="1" r:id="rId1"/>
  </sheets>
  <definedNames>
    <definedName name="_xlnm._FilterDatabase" localSheetId="0" hidden="1">'Quản lý tiến độ'!$A$14:$AT$63</definedName>
    <definedName name="_xlnm.Print_Titles" localSheetId="0">'Quản lý tiến độ'!$14:$14,'Quản lý tiến độ'!$A:$F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63" i="1" l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</calcChain>
</file>

<file path=xl/sharedStrings.xml><?xml version="1.0" encoding="utf-8"?>
<sst xmlns="http://schemas.openxmlformats.org/spreadsheetml/2006/main" count="405" uniqueCount="113">
  <si>
    <t>BẢNG QUẢN LÝ TIẾN ĐỘ</t>
  </si>
  <si>
    <t>Bắt đầu</t>
  </si>
  <si>
    <t>Kết thúc</t>
  </si>
  <si>
    <t>Tổng số ngày</t>
  </si>
  <si>
    <t>Chú thích:</t>
  </si>
  <si>
    <t>Thời gian thực hiện (kế hoạch)</t>
  </si>
  <si>
    <t>STT</t>
  </si>
  <si>
    <t>Giai đoạn</t>
  </si>
  <si>
    <t>Vai trò</t>
  </si>
  <si>
    <t>Công việc</t>
  </si>
  <si>
    <t>Bắt đầu (KH)</t>
  </si>
  <si>
    <t>Số ngày</t>
  </si>
  <si>
    <t>Kết thúc (KH)</t>
  </si>
  <si>
    <t>01/09</t>
  </si>
  <si>
    <t>02/09</t>
  </si>
  <si>
    <t>03/09</t>
  </si>
  <si>
    <t>04/09</t>
  </si>
  <si>
    <t>05/09</t>
  </si>
  <si>
    <t>06/09</t>
  </si>
  <si>
    <t>07/09</t>
  </si>
  <si>
    <t>08/09</t>
  </si>
  <si>
    <t>09/09</t>
  </si>
  <si>
    <t>10/09</t>
  </si>
  <si>
    <t>11/09</t>
  </si>
  <si>
    <t>12/09</t>
  </si>
  <si>
    <t>13/09</t>
  </si>
  <si>
    <t>14/09</t>
  </si>
  <si>
    <t>15/09</t>
  </si>
  <si>
    <t>16/09</t>
  </si>
  <si>
    <t>17/09</t>
  </si>
  <si>
    <t>18/09</t>
  </si>
  <si>
    <t>19/09</t>
  </si>
  <si>
    <t>20/09</t>
  </si>
  <si>
    <t>21/09</t>
  </si>
  <si>
    <t>22/09</t>
  </si>
  <si>
    <t>23/09</t>
  </si>
  <si>
    <t>24/09</t>
  </si>
  <si>
    <t>25/09</t>
  </si>
  <si>
    <t>26/09</t>
  </si>
  <si>
    <t>27/09</t>
  </si>
  <si>
    <t>28/09</t>
  </si>
  <si>
    <t>29/09</t>
  </si>
  <si>
    <t>30/09</t>
  </si>
  <si>
    <t>01/10</t>
  </si>
  <si>
    <t>02/10</t>
  </si>
  <si>
    <t>03/10</t>
  </si>
  <si>
    <t>04/10</t>
  </si>
  <si>
    <t>05/10</t>
  </si>
  <si>
    <t>06/10</t>
  </si>
  <si>
    <t>07/10</t>
  </si>
  <si>
    <t>08/10</t>
  </si>
  <si>
    <t>09/10</t>
  </si>
  <si>
    <t>10/10</t>
  </si>
  <si>
    <t>1. Phân tích &amp; Thiết kế</t>
  </si>
  <si>
    <t>Backend &amp; Middleware</t>
  </si>
  <si>
    <t>Thiết kế Database Schema</t>
  </si>
  <si>
    <t>■</t>
  </si>
  <si>
    <t>Mobile App – Admin</t>
  </si>
  <si>
    <t>Thiết kế UI tổng thể Mobile App</t>
  </si>
  <si>
    <t>Mobile App – Employee &amp; Real-time</t>
  </si>
  <si>
    <t>Thiết kế giao diện Employee</t>
  </si>
  <si>
    <t>BA/QA + Reporting</t>
  </si>
  <si>
    <t>Khảo sát nhu cầu người dùng</t>
  </si>
  <si>
    <t>Hardware Engineer</t>
  </si>
  <si>
    <t>Thiết kế sơ đồ mạch hệ thống</t>
  </si>
  <si>
    <t>2. Phát triển song song</t>
  </si>
  <si>
    <t>Tạo Firebase project</t>
  </si>
  <si>
    <t>Xây dựng màn hình Login/Admin</t>
  </si>
  <si>
    <t>Màn hình thông tin cá nhân</t>
  </si>
  <si>
    <t>Xác định yêu cầu chức năng</t>
  </si>
  <si>
    <t>Kết nối ESP32 với cảm biến vân tay</t>
  </si>
  <si>
    <t>Thiết lập Firebase Database</t>
  </si>
  <si>
    <t>Màn hình quản lý nhân viên</t>
  </si>
  <si>
    <t>Xem lịch sử chấm công cá nhân</t>
  </si>
  <si>
    <t>Xây dựng Use Case</t>
  </si>
  <si>
    <t>Lập trình đọc dữ liệu vân tay</t>
  </si>
  <si>
    <t>Thiết kế cấu trúc dữ liệu Employee</t>
  </si>
  <si>
    <t>Thêm nhân viên</t>
  </si>
  <si>
    <t>Lọc lịch sử theo ngày</t>
  </si>
  <si>
    <t>Xây dựng User Flow</t>
  </si>
  <si>
    <t>3. Hoàn thiện tính năng (song song)</t>
  </si>
  <si>
    <t>Đăng ký (enroll) vân tay</t>
  </si>
  <si>
    <t>Thiết kế cấu trúc dữ liệu Attendance</t>
  </si>
  <si>
    <t>Sửa thông tin nhân viên</t>
  </si>
  <si>
    <t>Lọc lịch sử theo tuần/tháng</t>
  </si>
  <si>
    <t>Xác định quy tắc đi trễ/về sớm/vắng mặt</t>
  </si>
  <si>
    <t>Xử lý dữ liệu nhận từ ESP32</t>
  </si>
  <si>
    <t>Xóa nhân viên</t>
  </si>
  <si>
    <t>Tích hợp Firebase listener</t>
  </si>
  <si>
    <t>Thiết kế báo cáo thống kê chấm công</t>
  </si>
  <si>
    <t>Xác thực vân tay</t>
  </si>
  <si>
    <t>Thiết lập giao tiếp HTTP/MQTT</t>
  </si>
  <si>
    <t>Ghép nối Employee ↔ Fingerprint ID</t>
  </si>
  <si>
    <t>Cập nhật trạng thái chấm công Real-time</t>
  </si>
  <si>
    <t>Viết Test Case cho Hardware</t>
  </si>
  <si>
    <t>Thiết lập WiFi cho ESP32</t>
  </si>
  <si>
    <t>4. Tích hợp &amp; Đồng bộ hệ thống</t>
  </si>
  <si>
    <t>Viết Test Case cho Mobile App</t>
  </si>
  <si>
    <t>Đồng bộ dữ liệu ESP32 ↔ Firebase</t>
  </si>
  <si>
    <t>Xây dựng Dashboard</t>
  </si>
  <si>
    <t>Tích hợp Push Notification</t>
  </si>
  <si>
    <t>Gửi dữ liệu chấm công từ ESP32</t>
  </si>
  <si>
    <t>Kiểm thử tích hợp toàn hệ thống</t>
  </si>
  <si>
    <t>Hỗ trợ tích hợp Firebase ↔ Mobile App</t>
  </si>
  <si>
    <t>Hiển thị Present/Absent/Late</t>
  </si>
  <si>
    <t>Hiển thị thông báo chấm công thành công</t>
  </si>
  <si>
    <t>5. Kiểm thử &amp; Hoàn thiện</t>
  </si>
  <si>
    <t>Ghi nhận lỗi và theo dõi sửa lỗi</t>
  </si>
  <si>
    <t>Kiểm thử trạm chấm công</t>
  </si>
  <si>
    <t>Kiểm thử luồng dữ liệu toàn hệ thống</t>
  </si>
  <si>
    <t>Hiển thị lịch sử chấm công tổng hợp</t>
  </si>
  <si>
    <t>Kiểm thử Real-time + Notification</t>
  </si>
  <si>
    <t>Kiểm thử cuối và nghiệm thu hệ thống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</si>
</sst>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dd/mm"/>
  </numFmts>
  <fonts count="12" x14ac:knownFonts="1">
    <font>
      <sz val="11"/>
      <color theme="1"/>
      <name val="Calibri"/>
      <family val="2"/>
      <charset val="1"/>
    </font>
    <font>
      <b/>
      <sz val="36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theme="0"/>
      <name val="Arial"/>
      <family val="2"/>
      <charset val="1"/>
    </font>
    <font>
      <b/>
      <sz val="11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11"/>
      <color rgb="FFFFFFFF"/>
      <name val="Cambria"/>
      <family val="1"/>
    </font>
    <font>
      <b/>
      <sz val="8"/>
      <color rgb="FFFFFFFF"/>
      <name val="Cambria"/>
      <family val="1"/>
    </font>
    <font>
      <sz val="11"/>
      <name val="Cambria"/>
      <family val="1"/>
    </font>
    <font>
      <i/>
      <sz val="11"/>
      <name val="Cambria"/>
      <family val="1"/>
    </font>
    <font>
      <sz val="11"/>
      <color rgb="FFFFFFFF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rgb="FFED7D31"/>
        <bgColor rgb="FFFF8080"/>
      </patternFill>
    </fill>
    <fill>
      <patternFill patternType="solid">
        <fgColor theme="0"/>
        <bgColor rgb="FFFFFFCC"/>
      </patternFill>
    </fill>
    <fill>
      <patternFill patternType="solid">
        <fgColor rgb="FFDDEBF7"/>
        <bgColor rgb="FFD9D9D9"/>
      </patternFill>
    </fill>
    <fill>
      <patternFill patternType="solid">
        <fgColor rgb="FF70AD47"/>
        <bgColor rgb="FF99CC00"/>
      </patternFill>
    </fill>
    <fill>
      <patternFill patternType="solid">
        <fgColor rgb="FF1F4E78"/>
        <bgColor rgb="FF1F3864"/>
      </patternFill>
    </fill>
    <fill>
      <patternFill patternType="solid">
        <fgColor rgb="FFFFC000"/>
        <bgColor rgb="FFFF9900"/>
      </patternFill>
    </fill>
    <fill>
      <patternFill patternType="solid">
        <fgColor rgb="FF7030A0"/>
        <bgColor rgb="FF993366"/>
      </patternFill>
    </fill>
    <fill>
      <patternFill patternType="solid">
        <fgColor rgb="FFC00000"/>
        <bgColor rgb="FF800000"/>
      </patternFill>
    </fill>
    <fill>
      <patternFill patternType="solid">
        <fgColor theme="0"/>
        <bgColor rgb="FF99CC00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5" fillId="0" borderId="0" xfId="0" applyFont="1"/>
    <xf numFmtId="0" fontId="0" fillId="6" borderId="1" xfId="0" applyFill="1" applyBorder="1"/>
    <xf numFmtId="0" fontId="6" fillId="0" borderId="0" xfId="0" applyFont="1" applyAlignment="1">
      <alignment vertical="center"/>
    </xf>
    <xf numFmtId="0" fontId="7" fillId="7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textRotation="90"/>
    </xf>
    <xf numFmtId="0" fontId="9" fillId="4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indent="1"/>
    </xf>
    <xf numFmtId="0" fontId="10" fillId="4" borderId="3" xfId="0" applyFont="1" applyFill="1" applyBorder="1" applyAlignment="1">
      <alignment horizontal="left" vertical="center" indent="1"/>
    </xf>
    <xf numFmtId="0" fontId="9" fillId="4" borderId="3" xfId="0" applyFont="1" applyFill="1" applyBorder="1" applyAlignment="1">
      <alignment horizontal="left" vertical="center" indent="1"/>
    </xf>
    <xf numFmtId="165" fontId="9" fillId="4" borderId="3" xfId="0" applyNumberFormat="1" applyFont="1" applyFill="1" applyBorder="1" applyAlignment="1">
      <alignment horizontal="center" vertical="center"/>
    </xf>
    <xf numFmtId="1" fontId="9" fillId="4" borderId="3" xfId="0" applyNumberFormat="1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9" fillId="4" borderId="2" xfId="0" applyFont="1" applyFill="1" applyBorder="1"/>
    <xf numFmtId="0" fontId="7" fillId="6" borderId="3" xfId="0" applyFont="1" applyFill="1" applyBorder="1" applyAlignment="1">
      <alignment horizontal="left" vertical="center" indent="1"/>
    </xf>
    <xf numFmtId="0" fontId="7" fillId="3" borderId="3" xfId="0" applyFont="1" applyFill="1" applyBorder="1" applyAlignment="1">
      <alignment horizontal="left" vertical="center" indent="1"/>
    </xf>
    <xf numFmtId="0" fontId="7" fillId="9" borderId="3" xfId="0" applyFont="1" applyFill="1" applyBorder="1" applyAlignment="1">
      <alignment horizontal="left" vertical="center" indent="1"/>
    </xf>
    <xf numFmtId="0" fontId="7" fillId="10" borderId="3" xfId="0" applyFont="1" applyFill="1" applyBorder="1" applyAlignment="1">
      <alignment horizontal="left" vertical="center" indent="1"/>
    </xf>
    <xf numFmtId="164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0" borderId="0" xfId="0" applyBorder="1"/>
    <xf numFmtId="0" fontId="11" fillId="11" borderId="2" xfId="0" applyFont="1" applyFill="1" applyBorder="1" applyAlignment="1">
      <alignment horizontal="center" vertical="center"/>
    </xf>
    <xf numFmtId="0" fontId="11" fillId="11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9" fillId="4" borderId="7" xfId="0" applyFont="1" applyFill="1" applyBorder="1"/>
    <xf numFmtId="0" fontId="11" fillId="11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D7D31"/>
      <rgbColor rgb="FF666699"/>
      <rgbColor rgb="FFB7B7B7"/>
      <rgbColor rgb="FF1F3864"/>
      <rgbColor rgb="FF70AD47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63"/>
  <sheetViews>
    <sheetView showGridLines="0" tabSelected="1" zoomScaleNormal="100" workbookViewId="0">
      <pane ySplit="14" topLeftCell="A15" activePane="bottomLeft" state="frozen"/>
      <selection pane="bottomLeft" activeCell="J23" sqref="J23"/>
    </sheetView>
  </sheetViews>
  <sheetFormatPr defaultColWidth="8.6640625" defaultRowHeight="14.4" x14ac:dyDescent="0.3"/>
  <cols>
    <col min="1" max="1" width="5" customWidth="1"/>
    <col min="2" max="2" width="30" customWidth="1"/>
    <col min="3" max="3" width="26" customWidth="1"/>
    <col min="4" max="4" width="34" customWidth="1"/>
    <col min="5" max="7" width="11" customWidth="1"/>
    <col min="8" max="47" width="3.5546875" customWidth="1"/>
  </cols>
  <sheetData>
    <row r="1" spans="1:47" ht="6" customHeight="1" x14ac:dyDescent="0.3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</row>
    <row r="2" spans="1:47" ht="21.75" customHeight="1" x14ac:dyDescent="0.3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</row>
    <row r="3" spans="1:47" ht="12" customHeight="1" x14ac:dyDescent="0.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</row>
    <row r="4" spans="1:47" ht="12" customHeight="1" x14ac:dyDescent="0.3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</row>
    <row r="5" spans="1:47" ht="12" customHeight="1" x14ac:dyDescent="0.3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</row>
    <row r="6" spans="1:47" ht="12" customHeight="1" x14ac:dyDescent="0.3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</row>
    <row r="7" spans="1:47" ht="7.5" customHeight="1" x14ac:dyDescent="0.3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</row>
    <row r="9" spans="1:47" ht="19.5" customHeight="1" x14ac:dyDescent="0.3">
      <c r="A9" s="23" t="s">
        <v>1</v>
      </c>
      <c r="B9" s="23"/>
      <c r="C9" s="23" t="s">
        <v>2</v>
      </c>
      <c r="D9" s="23"/>
      <c r="E9" s="23" t="s">
        <v>3</v>
      </c>
      <c r="F9" s="23"/>
      <c r="G9" s="24"/>
      <c r="H9" s="24"/>
    </row>
    <row r="10" spans="1:47" ht="19.5" customHeight="1" x14ac:dyDescent="0.3">
      <c r="A10" s="18">
        <v>46266</v>
      </c>
      <c r="B10" s="18"/>
      <c r="C10" s="18">
        <v>46305</v>
      </c>
      <c r="D10" s="18"/>
      <c r="E10" s="19">
        <v>40</v>
      </c>
      <c r="F10" s="19"/>
      <c r="G10" s="20"/>
      <c r="H10" s="20"/>
    </row>
    <row r="12" spans="1:47" ht="15.75" customHeight="1" x14ac:dyDescent="0.3">
      <c r="A12" s="1" t="s">
        <v>4</v>
      </c>
      <c r="C12" s="2"/>
      <c r="D12" s="3" t="s">
        <v>5</v>
      </c>
      <c r="E12" s="25"/>
      <c r="F12" s="3"/>
      <c r="G12" s="25"/>
      <c r="H12" s="3"/>
      <c r="I12" s="25"/>
      <c r="J12" s="3"/>
      <c r="K12" s="25"/>
      <c r="L12" s="3"/>
    </row>
    <row r="14" spans="1:47" ht="39.75" customHeight="1" x14ac:dyDescent="0.3">
      <c r="A14" s="4" t="s">
        <v>6</v>
      </c>
      <c r="B14" s="4" t="s">
        <v>7</v>
      </c>
      <c r="C14" s="4" t="s">
        <v>8</v>
      </c>
      <c r="D14" s="4" t="s">
        <v>9</v>
      </c>
      <c r="E14" s="4" t="s">
        <v>10</v>
      </c>
      <c r="F14" s="4" t="s">
        <v>11</v>
      </c>
      <c r="G14" s="4" t="s">
        <v>12</v>
      </c>
      <c r="H14" s="5" t="s">
        <v>13</v>
      </c>
      <c r="I14" s="5" t="s">
        <v>14</v>
      </c>
      <c r="J14" s="5" t="s">
        <v>15</v>
      </c>
      <c r="K14" s="5" t="s">
        <v>16</v>
      </c>
      <c r="L14" s="5" t="s">
        <v>17</v>
      </c>
      <c r="M14" s="5" t="s">
        <v>18</v>
      </c>
      <c r="N14" s="5" t="s">
        <v>19</v>
      </c>
      <c r="O14" s="5" t="s">
        <v>20</v>
      </c>
      <c r="P14" s="5" t="s">
        <v>21</v>
      </c>
      <c r="Q14" s="5" t="s">
        <v>22</v>
      </c>
      <c r="R14" s="5" t="s">
        <v>23</v>
      </c>
      <c r="S14" s="5" t="s">
        <v>24</v>
      </c>
      <c r="T14" s="5" t="s">
        <v>25</v>
      </c>
      <c r="U14" s="5" t="s">
        <v>26</v>
      </c>
      <c r="V14" s="5" t="s">
        <v>27</v>
      </c>
      <c r="W14" s="5" t="s">
        <v>28</v>
      </c>
      <c r="X14" s="5" t="s">
        <v>29</v>
      </c>
      <c r="Y14" s="5" t="s">
        <v>30</v>
      </c>
      <c r="Z14" s="5" t="s">
        <v>31</v>
      </c>
      <c r="AA14" s="5" t="s">
        <v>32</v>
      </c>
      <c r="AB14" s="5" t="s">
        <v>33</v>
      </c>
      <c r="AC14" s="5" t="s">
        <v>34</v>
      </c>
      <c r="AD14" s="5" t="s">
        <v>35</v>
      </c>
      <c r="AE14" s="5" t="s">
        <v>36</v>
      </c>
      <c r="AF14" s="5" t="s">
        <v>37</v>
      </c>
      <c r="AG14" s="5" t="s">
        <v>38</v>
      </c>
      <c r="AH14" s="5" t="s">
        <v>39</v>
      </c>
      <c r="AI14" s="5" t="s">
        <v>40</v>
      </c>
      <c r="AJ14" s="5" t="s">
        <v>41</v>
      </c>
      <c r="AK14" s="5" t="s">
        <v>42</v>
      </c>
      <c r="AL14" s="5" t="s">
        <v>43</v>
      </c>
      <c r="AM14" s="5" t="s">
        <v>44</v>
      </c>
      <c r="AN14" s="5" t="s">
        <v>45</v>
      </c>
      <c r="AO14" s="5" t="s">
        <v>46</v>
      </c>
      <c r="AP14" s="5" t="s">
        <v>47</v>
      </c>
      <c r="AQ14" s="5" t="s">
        <v>48</v>
      </c>
      <c r="AR14" s="5" t="s">
        <v>49</v>
      </c>
      <c r="AS14" s="5" t="s">
        <v>50</v>
      </c>
      <c r="AT14" s="5" t="s">
        <v>51</v>
      </c>
      <c r="AU14" s="5" t="s">
        <v>52</v>
      </c>
    </row>
    <row r="15" spans="1:47" ht="15.75" customHeight="1" x14ac:dyDescent="0.3">
      <c r="A15" s="6">
        <v>1</v>
      </c>
      <c r="B15" s="7" t="s">
        <v>53</v>
      </c>
      <c r="C15" s="8" t="s">
        <v>54</v>
      </c>
      <c r="D15" s="9" t="s">
        <v>55</v>
      </c>
      <c r="E15" s="10">
        <v>46266</v>
      </c>
      <c r="F15" s="11">
        <v>4</v>
      </c>
      <c r="G15" s="10">
        <v>46269</v>
      </c>
      <c r="H15" s="12" t="s">
        <v>56</v>
      </c>
      <c r="I15" s="12" t="s">
        <v>56</v>
      </c>
      <c r="J15" s="12" t="s">
        <v>56</v>
      </c>
      <c r="K15" s="12" t="s">
        <v>56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</row>
    <row r="16" spans="1:47" ht="15.75" customHeight="1" x14ac:dyDescent="0.3">
      <c r="A16" s="6">
        <v>2</v>
      </c>
      <c r="B16" s="7" t="s">
        <v>53</v>
      </c>
      <c r="C16" s="8" t="s">
        <v>57</v>
      </c>
      <c r="D16" s="9" t="s">
        <v>58</v>
      </c>
      <c r="E16" s="10">
        <v>46266</v>
      </c>
      <c r="F16" s="11">
        <v>4</v>
      </c>
      <c r="G16" s="10">
        <v>46269</v>
      </c>
      <c r="H16" s="12" t="s">
        <v>56</v>
      </c>
      <c r="I16" s="12" t="s">
        <v>56</v>
      </c>
      <c r="J16" s="12" t="s">
        <v>56</v>
      </c>
      <c r="K16" s="12" t="s">
        <v>56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</row>
    <row r="17" spans="1:47" ht="15.75" customHeight="1" x14ac:dyDescent="0.3">
      <c r="A17" s="6">
        <v>3</v>
      </c>
      <c r="B17" s="7" t="s">
        <v>53</v>
      </c>
      <c r="C17" s="8" t="s">
        <v>59</v>
      </c>
      <c r="D17" s="9" t="s">
        <v>60</v>
      </c>
      <c r="E17" s="10">
        <v>46266</v>
      </c>
      <c r="F17" s="11">
        <v>4</v>
      </c>
      <c r="G17" s="10">
        <v>46269</v>
      </c>
      <c r="H17" s="12" t="s">
        <v>56</v>
      </c>
      <c r="I17" s="12" t="s">
        <v>56</v>
      </c>
      <c r="J17" s="12" t="s">
        <v>56</v>
      </c>
      <c r="K17" s="12" t="s">
        <v>56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</row>
    <row r="18" spans="1:47" ht="15.75" customHeight="1" x14ac:dyDescent="0.3">
      <c r="A18" s="6">
        <v>4</v>
      </c>
      <c r="B18" s="7" t="s">
        <v>53</v>
      </c>
      <c r="C18" s="8" t="s">
        <v>61</v>
      </c>
      <c r="D18" s="9" t="s">
        <v>62</v>
      </c>
      <c r="E18" s="10">
        <v>46266</v>
      </c>
      <c r="F18" s="11">
        <f t="shared" ref="F15:F46" si="0">G18-E18+1</f>
        <v>4</v>
      </c>
      <c r="G18" s="10">
        <v>46269</v>
      </c>
      <c r="H18" s="12" t="s">
        <v>56</v>
      </c>
      <c r="I18" s="28" t="s">
        <v>56</v>
      </c>
      <c r="J18" s="12" t="s">
        <v>56</v>
      </c>
      <c r="K18" s="12" t="s">
        <v>56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</row>
    <row r="19" spans="1:47" ht="15.75" customHeight="1" x14ac:dyDescent="0.3">
      <c r="A19" s="6">
        <v>5</v>
      </c>
      <c r="B19" s="7" t="s">
        <v>53</v>
      </c>
      <c r="C19" s="8" t="s">
        <v>63</v>
      </c>
      <c r="D19" s="9" t="s">
        <v>64</v>
      </c>
      <c r="E19" s="10">
        <v>46270</v>
      </c>
      <c r="F19" s="11">
        <f t="shared" si="0"/>
        <v>6</v>
      </c>
      <c r="G19" s="10">
        <v>46275</v>
      </c>
      <c r="H19" s="30" t="s">
        <v>56</v>
      </c>
      <c r="I19" s="26" t="s">
        <v>56</v>
      </c>
      <c r="J19" s="27" t="s">
        <v>56</v>
      </c>
      <c r="K19" s="26" t="s">
        <v>56</v>
      </c>
      <c r="L19" s="12" t="s">
        <v>56</v>
      </c>
      <c r="M19" s="12" t="s">
        <v>56</v>
      </c>
      <c r="N19" s="12" t="s">
        <v>56</v>
      </c>
      <c r="O19" s="12" t="s">
        <v>56</v>
      </c>
      <c r="P19" s="12" t="s">
        <v>56</v>
      </c>
      <c r="Q19" s="12" t="s">
        <v>56</v>
      </c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</row>
    <row r="20" spans="1:47" ht="15.75" customHeight="1" x14ac:dyDescent="0.3">
      <c r="A20" s="6">
        <v>6</v>
      </c>
      <c r="B20" s="14" t="s">
        <v>65</v>
      </c>
      <c r="C20" s="8" t="s">
        <v>54</v>
      </c>
      <c r="D20" s="9" t="s">
        <v>66</v>
      </c>
      <c r="E20" s="10">
        <v>46270</v>
      </c>
      <c r="F20" s="11">
        <f t="shared" si="0"/>
        <v>4</v>
      </c>
      <c r="G20" s="10">
        <v>46273</v>
      </c>
      <c r="H20" s="13"/>
      <c r="I20" s="29"/>
      <c r="J20" s="13"/>
      <c r="K20" s="13"/>
      <c r="L20" s="12" t="s">
        <v>56</v>
      </c>
      <c r="M20" s="12" t="s">
        <v>56</v>
      </c>
      <c r="N20" s="12" t="s">
        <v>56</v>
      </c>
      <c r="O20" s="12" t="s">
        <v>56</v>
      </c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</row>
    <row r="21" spans="1:47" ht="15.75" customHeight="1" x14ac:dyDescent="0.3">
      <c r="A21" s="6">
        <v>7</v>
      </c>
      <c r="B21" s="14" t="s">
        <v>65</v>
      </c>
      <c r="C21" s="8" t="s">
        <v>57</v>
      </c>
      <c r="D21" s="9" t="s">
        <v>67</v>
      </c>
      <c r="E21" s="10">
        <v>46270</v>
      </c>
      <c r="F21" s="11">
        <f t="shared" si="0"/>
        <v>4</v>
      </c>
      <c r="G21" s="10">
        <v>46273</v>
      </c>
      <c r="H21" s="13"/>
      <c r="I21" s="13"/>
      <c r="J21" s="13"/>
      <c r="K21" s="13"/>
      <c r="L21" s="12" t="s">
        <v>56</v>
      </c>
      <c r="M21" s="12" t="s">
        <v>56</v>
      </c>
      <c r="N21" s="12" t="s">
        <v>56</v>
      </c>
      <c r="O21" s="12" t="s">
        <v>56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</row>
    <row r="22" spans="1:47" ht="15.75" customHeight="1" x14ac:dyDescent="0.3">
      <c r="A22" s="6">
        <v>8</v>
      </c>
      <c r="B22" s="14" t="s">
        <v>65</v>
      </c>
      <c r="C22" s="8" t="s">
        <v>59</v>
      </c>
      <c r="D22" s="9" t="s">
        <v>68</v>
      </c>
      <c r="E22" s="10">
        <v>46270</v>
      </c>
      <c r="F22" s="11">
        <f t="shared" si="0"/>
        <v>4</v>
      </c>
      <c r="G22" s="10">
        <v>46273</v>
      </c>
      <c r="H22" s="13"/>
      <c r="I22" s="13"/>
      <c r="J22" s="13"/>
      <c r="K22" s="13"/>
      <c r="L22" s="12" t="s">
        <v>56</v>
      </c>
      <c r="M22" s="12" t="s">
        <v>56</v>
      </c>
      <c r="N22" s="12" t="s">
        <v>56</v>
      </c>
      <c r="O22" s="12" t="s">
        <v>56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</row>
    <row r="23" spans="1:47" ht="15.75" customHeight="1" x14ac:dyDescent="0.3">
      <c r="A23" s="6">
        <v>9</v>
      </c>
      <c r="B23" s="14" t="s">
        <v>65</v>
      </c>
      <c r="C23" s="8" t="s">
        <v>61</v>
      </c>
      <c r="D23" s="9" t="s">
        <v>69</v>
      </c>
      <c r="E23" s="10">
        <v>46270</v>
      </c>
      <c r="F23" s="11">
        <f t="shared" si="0"/>
        <v>4</v>
      </c>
      <c r="G23" s="10">
        <v>46273</v>
      </c>
      <c r="H23" s="13"/>
      <c r="I23" s="13"/>
      <c r="J23" s="13"/>
      <c r="K23" s="13"/>
      <c r="L23" s="12" t="s">
        <v>56</v>
      </c>
      <c r="M23" s="12" t="s">
        <v>56</v>
      </c>
      <c r="N23" s="12" t="s">
        <v>56</v>
      </c>
      <c r="O23" s="12" t="s">
        <v>56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</row>
    <row r="24" spans="1:47" ht="15.75" customHeight="1" x14ac:dyDescent="0.3">
      <c r="A24" s="6">
        <v>10</v>
      </c>
      <c r="B24" s="14" t="s">
        <v>65</v>
      </c>
      <c r="C24" s="8" t="s">
        <v>63</v>
      </c>
      <c r="D24" s="9" t="s">
        <v>70</v>
      </c>
      <c r="E24" s="10">
        <v>46271</v>
      </c>
      <c r="F24" s="11">
        <f t="shared" si="0"/>
        <v>5</v>
      </c>
      <c r="G24" s="10">
        <v>46275</v>
      </c>
      <c r="H24" s="13"/>
      <c r="I24" s="13"/>
      <c r="J24" s="13"/>
      <c r="K24" s="13"/>
      <c r="L24" s="13"/>
      <c r="M24" s="12" t="s">
        <v>56</v>
      </c>
      <c r="N24" s="12" t="s">
        <v>56</v>
      </c>
      <c r="O24" s="12" t="s">
        <v>56</v>
      </c>
      <c r="P24" s="12" t="s">
        <v>56</v>
      </c>
      <c r="Q24" s="12" t="s">
        <v>56</v>
      </c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</row>
    <row r="25" spans="1:47" ht="15.75" customHeight="1" x14ac:dyDescent="0.3">
      <c r="A25" s="6">
        <v>11</v>
      </c>
      <c r="B25" s="14" t="s">
        <v>65</v>
      </c>
      <c r="C25" s="8" t="s">
        <v>54</v>
      </c>
      <c r="D25" s="9" t="s">
        <v>71</v>
      </c>
      <c r="E25" s="10">
        <v>46274</v>
      </c>
      <c r="F25" s="11">
        <f t="shared" si="0"/>
        <v>4</v>
      </c>
      <c r="G25" s="10">
        <v>46277</v>
      </c>
      <c r="H25" s="13"/>
      <c r="I25" s="13"/>
      <c r="J25" s="13"/>
      <c r="K25" s="13"/>
      <c r="L25" s="13"/>
      <c r="M25" s="13"/>
      <c r="N25" s="13"/>
      <c r="O25" s="13"/>
      <c r="P25" s="12" t="s">
        <v>56</v>
      </c>
      <c r="Q25" s="12" t="s">
        <v>56</v>
      </c>
      <c r="R25" s="12" t="s">
        <v>56</v>
      </c>
      <c r="S25" s="12" t="s">
        <v>56</v>
      </c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</row>
    <row r="26" spans="1:47" ht="15.75" customHeight="1" x14ac:dyDescent="0.3">
      <c r="A26" s="6">
        <v>12</v>
      </c>
      <c r="B26" s="14" t="s">
        <v>65</v>
      </c>
      <c r="C26" s="8" t="s">
        <v>57</v>
      </c>
      <c r="D26" s="9" t="s">
        <v>72</v>
      </c>
      <c r="E26" s="10">
        <v>46274</v>
      </c>
      <c r="F26" s="11">
        <f t="shared" si="0"/>
        <v>4</v>
      </c>
      <c r="G26" s="10">
        <v>46277</v>
      </c>
      <c r="H26" s="13"/>
      <c r="I26" s="13"/>
      <c r="J26" s="13"/>
      <c r="K26" s="13"/>
      <c r="L26" s="13"/>
      <c r="M26" s="13"/>
      <c r="N26" s="13"/>
      <c r="O26" s="13"/>
      <c r="P26" s="12" t="s">
        <v>56</v>
      </c>
      <c r="Q26" s="12" t="s">
        <v>56</v>
      </c>
      <c r="R26" s="12" t="s">
        <v>56</v>
      </c>
      <c r="S26" s="12" t="s">
        <v>56</v>
      </c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</row>
    <row r="27" spans="1:47" ht="15.75" customHeight="1" x14ac:dyDescent="0.3">
      <c r="A27" s="6">
        <v>13</v>
      </c>
      <c r="B27" s="14" t="s">
        <v>65</v>
      </c>
      <c r="C27" s="8" t="s">
        <v>59</v>
      </c>
      <c r="D27" s="9" t="s">
        <v>73</v>
      </c>
      <c r="E27" s="10">
        <v>46274</v>
      </c>
      <c r="F27" s="11">
        <f t="shared" si="0"/>
        <v>4</v>
      </c>
      <c r="G27" s="10">
        <v>46277</v>
      </c>
      <c r="H27" s="13"/>
      <c r="I27" s="13"/>
      <c r="J27" s="13"/>
      <c r="K27" s="13"/>
      <c r="L27" s="13"/>
      <c r="M27" s="13"/>
      <c r="N27" s="13"/>
      <c r="O27" s="13"/>
      <c r="P27" s="12" t="s">
        <v>56</v>
      </c>
      <c r="Q27" s="12" t="s">
        <v>56</v>
      </c>
      <c r="R27" s="12" t="s">
        <v>56</v>
      </c>
      <c r="S27" s="12" t="s">
        <v>56</v>
      </c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</row>
    <row r="28" spans="1:47" ht="15.75" customHeight="1" x14ac:dyDescent="0.3">
      <c r="A28" s="6">
        <v>14</v>
      </c>
      <c r="B28" s="14" t="s">
        <v>65</v>
      </c>
      <c r="C28" s="8" t="s">
        <v>61</v>
      </c>
      <c r="D28" s="9" t="s">
        <v>74</v>
      </c>
      <c r="E28" s="10">
        <v>46274</v>
      </c>
      <c r="F28" s="11">
        <f t="shared" si="0"/>
        <v>4</v>
      </c>
      <c r="G28" s="10">
        <v>46277</v>
      </c>
      <c r="H28" s="13"/>
      <c r="I28" s="13"/>
      <c r="J28" s="13"/>
      <c r="K28" s="13"/>
      <c r="L28" s="13"/>
      <c r="M28" s="13"/>
      <c r="N28" s="13"/>
      <c r="O28" s="13"/>
      <c r="P28" s="12" t="s">
        <v>56</v>
      </c>
      <c r="Q28" s="12" t="s">
        <v>56</v>
      </c>
      <c r="R28" s="12" t="s">
        <v>56</v>
      </c>
      <c r="S28" s="12" t="s">
        <v>56</v>
      </c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</row>
    <row r="29" spans="1:47" ht="15.75" customHeight="1" x14ac:dyDescent="0.3">
      <c r="A29" s="6">
        <v>15</v>
      </c>
      <c r="B29" s="14" t="s">
        <v>65</v>
      </c>
      <c r="C29" s="8" t="s">
        <v>63</v>
      </c>
      <c r="D29" s="9" t="s">
        <v>75</v>
      </c>
      <c r="E29" s="10">
        <v>46276</v>
      </c>
      <c r="F29" s="11">
        <f t="shared" si="0"/>
        <v>5</v>
      </c>
      <c r="G29" s="10">
        <v>46280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2" t="s">
        <v>56</v>
      </c>
      <c r="S29" s="12" t="s">
        <v>56</v>
      </c>
      <c r="T29" s="12" t="s">
        <v>56</v>
      </c>
      <c r="U29" s="12" t="s">
        <v>56</v>
      </c>
      <c r="V29" s="12" t="s">
        <v>56</v>
      </c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</row>
    <row r="30" spans="1:47" ht="15.75" customHeight="1" x14ac:dyDescent="0.3">
      <c r="A30" s="6">
        <v>16</v>
      </c>
      <c r="B30" s="14" t="s">
        <v>65</v>
      </c>
      <c r="C30" s="8" t="s">
        <v>54</v>
      </c>
      <c r="D30" s="9" t="s">
        <v>76</v>
      </c>
      <c r="E30" s="10">
        <v>46278</v>
      </c>
      <c r="F30" s="11">
        <f t="shared" si="0"/>
        <v>4</v>
      </c>
      <c r="G30" s="10">
        <v>46281</v>
      </c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2" t="s">
        <v>56</v>
      </c>
      <c r="U30" s="12" t="s">
        <v>56</v>
      </c>
      <c r="V30" s="12" t="s">
        <v>56</v>
      </c>
      <c r="W30" s="12" t="s">
        <v>56</v>
      </c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</row>
    <row r="31" spans="1:47" ht="15.75" customHeight="1" x14ac:dyDescent="0.3">
      <c r="A31" s="6">
        <v>17</v>
      </c>
      <c r="B31" s="14" t="s">
        <v>65</v>
      </c>
      <c r="C31" s="8" t="s">
        <v>57</v>
      </c>
      <c r="D31" s="9" t="s">
        <v>77</v>
      </c>
      <c r="E31" s="10">
        <v>46278</v>
      </c>
      <c r="F31" s="11">
        <f t="shared" si="0"/>
        <v>4</v>
      </c>
      <c r="G31" s="10">
        <v>46281</v>
      </c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2" t="s">
        <v>56</v>
      </c>
      <c r="U31" s="12" t="s">
        <v>56</v>
      </c>
      <c r="V31" s="12" t="s">
        <v>56</v>
      </c>
      <c r="W31" s="12" t="s">
        <v>56</v>
      </c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</row>
    <row r="32" spans="1:47" ht="15.75" customHeight="1" x14ac:dyDescent="0.3">
      <c r="A32" s="6">
        <v>18</v>
      </c>
      <c r="B32" s="14" t="s">
        <v>65</v>
      </c>
      <c r="C32" s="8" t="s">
        <v>59</v>
      </c>
      <c r="D32" s="9" t="s">
        <v>78</v>
      </c>
      <c r="E32" s="10">
        <v>46278</v>
      </c>
      <c r="F32" s="11">
        <f t="shared" si="0"/>
        <v>4</v>
      </c>
      <c r="G32" s="10">
        <v>46281</v>
      </c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2" t="s">
        <v>56</v>
      </c>
      <c r="U32" s="12" t="s">
        <v>56</v>
      </c>
      <c r="V32" s="12" t="s">
        <v>56</v>
      </c>
      <c r="W32" s="12" t="s">
        <v>56</v>
      </c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</row>
    <row r="33" spans="1:47" ht="15.75" customHeight="1" x14ac:dyDescent="0.3">
      <c r="A33" s="6">
        <v>19</v>
      </c>
      <c r="B33" s="14" t="s">
        <v>65</v>
      </c>
      <c r="C33" s="8" t="s">
        <v>61</v>
      </c>
      <c r="D33" s="9" t="s">
        <v>79</v>
      </c>
      <c r="E33" s="10">
        <v>46278</v>
      </c>
      <c r="F33" s="11">
        <f t="shared" si="0"/>
        <v>4</v>
      </c>
      <c r="G33" s="10">
        <v>46281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2" t="s">
        <v>56</v>
      </c>
      <c r="U33" s="12" t="s">
        <v>56</v>
      </c>
      <c r="V33" s="12" t="s">
        <v>56</v>
      </c>
      <c r="W33" s="12" t="s">
        <v>56</v>
      </c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</row>
    <row r="34" spans="1:47" ht="15.75" customHeight="1" x14ac:dyDescent="0.3">
      <c r="A34" s="6">
        <v>20</v>
      </c>
      <c r="B34" s="15" t="s">
        <v>80</v>
      </c>
      <c r="C34" s="8" t="s">
        <v>63</v>
      </c>
      <c r="D34" s="9" t="s">
        <v>81</v>
      </c>
      <c r="E34" s="10">
        <v>46281</v>
      </c>
      <c r="F34" s="11">
        <f t="shared" si="0"/>
        <v>5</v>
      </c>
      <c r="G34" s="10">
        <v>46285</v>
      </c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2" t="s">
        <v>56</v>
      </c>
      <c r="X34" s="12" t="s">
        <v>56</v>
      </c>
      <c r="Y34" s="12" t="s">
        <v>56</v>
      </c>
      <c r="Z34" s="12" t="s">
        <v>56</v>
      </c>
      <c r="AA34" s="12" t="s">
        <v>56</v>
      </c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</row>
    <row r="35" spans="1:47" ht="15.75" customHeight="1" x14ac:dyDescent="0.3">
      <c r="A35" s="6">
        <v>21</v>
      </c>
      <c r="B35" s="15" t="s">
        <v>80</v>
      </c>
      <c r="C35" s="8" t="s">
        <v>54</v>
      </c>
      <c r="D35" s="9" t="s">
        <v>82</v>
      </c>
      <c r="E35" s="10">
        <v>46282</v>
      </c>
      <c r="F35" s="11">
        <f t="shared" si="0"/>
        <v>4</v>
      </c>
      <c r="G35" s="10">
        <v>46285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2" t="s">
        <v>56</v>
      </c>
      <c r="Y35" s="12" t="s">
        <v>56</v>
      </c>
      <c r="Z35" s="12" t="s">
        <v>56</v>
      </c>
      <c r="AA35" s="12" t="s">
        <v>56</v>
      </c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</row>
    <row r="36" spans="1:47" ht="15.75" customHeight="1" x14ac:dyDescent="0.3">
      <c r="A36" s="6">
        <v>22</v>
      </c>
      <c r="B36" s="15" t="s">
        <v>80</v>
      </c>
      <c r="C36" s="8" t="s">
        <v>57</v>
      </c>
      <c r="D36" s="9" t="s">
        <v>83</v>
      </c>
      <c r="E36" s="10">
        <v>46282</v>
      </c>
      <c r="F36" s="11">
        <f t="shared" si="0"/>
        <v>4</v>
      </c>
      <c r="G36" s="10">
        <v>46285</v>
      </c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2" t="s">
        <v>56</v>
      </c>
      <c r="Y36" s="12" t="s">
        <v>56</v>
      </c>
      <c r="Z36" s="12" t="s">
        <v>56</v>
      </c>
      <c r="AA36" s="12" t="s">
        <v>56</v>
      </c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</row>
    <row r="37" spans="1:47" ht="15.75" customHeight="1" x14ac:dyDescent="0.3">
      <c r="A37" s="6">
        <v>23</v>
      </c>
      <c r="B37" s="15" t="s">
        <v>80</v>
      </c>
      <c r="C37" s="8" t="s">
        <v>59</v>
      </c>
      <c r="D37" s="9" t="s">
        <v>84</v>
      </c>
      <c r="E37" s="10">
        <v>46282</v>
      </c>
      <c r="F37" s="11">
        <f t="shared" si="0"/>
        <v>4</v>
      </c>
      <c r="G37" s="10">
        <v>46285</v>
      </c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2" t="s">
        <v>56</v>
      </c>
      <c r="Y37" s="12" t="s">
        <v>56</v>
      </c>
      <c r="Z37" s="12" t="s">
        <v>56</v>
      </c>
      <c r="AA37" s="12" t="s">
        <v>56</v>
      </c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</row>
    <row r="38" spans="1:47" ht="15.75" customHeight="1" x14ac:dyDescent="0.3">
      <c r="A38" s="6">
        <v>24</v>
      </c>
      <c r="B38" s="15" t="s">
        <v>80</v>
      </c>
      <c r="C38" s="8" t="s">
        <v>61</v>
      </c>
      <c r="D38" s="9" t="s">
        <v>85</v>
      </c>
      <c r="E38" s="10">
        <v>46282</v>
      </c>
      <c r="F38" s="11">
        <f t="shared" si="0"/>
        <v>4</v>
      </c>
      <c r="G38" s="10">
        <v>46285</v>
      </c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2" t="s">
        <v>56</v>
      </c>
      <c r="Y38" s="12" t="s">
        <v>56</v>
      </c>
      <c r="Z38" s="12" t="s">
        <v>56</v>
      </c>
      <c r="AA38" s="12" t="s">
        <v>56</v>
      </c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</row>
    <row r="39" spans="1:47" ht="15.75" customHeight="1" x14ac:dyDescent="0.3">
      <c r="A39" s="6">
        <v>25</v>
      </c>
      <c r="B39" s="15" t="s">
        <v>80</v>
      </c>
      <c r="C39" s="8" t="s">
        <v>54</v>
      </c>
      <c r="D39" s="9" t="s">
        <v>86</v>
      </c>
      <c r="E39" s="10">
        <v>46286</v>
      </c>
      <c r="F39" s="11">
        <f t="shared" si="0"/>
        <v>4</v>
      </c>
      <c r="G39" s="10">
        <v>46289</v>
      </c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2" t="s">
        <v>56</v>
      </c>
      <c r="AC39" s="12" t="s">
        <v>56</v>
      </c>
      <c r="AD39" s="12" t="s">
        <v>56</v>
      </c>
      <c r="AE39" s="12" t="s">
        <v>56</v>
      </c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</row>
    <row r="40" spans="1:47" ht="15.75" customHeight="1" x14ac:dyDescent="0.3">
      <c r="A40" s="6">
        <v>26</v>
      </c>
      <c r="B40" s="15" t="s">
        <v>80</v>
      </c>
      <c r="C40" s="8" t="s">
        <v>57</v>
      </c>
      <c r="D40" s="9" t="s">
        <v>87</v>
      </c>
      <c r="E40" s="10">
        <v>46286</v>
      </c>
      <c r="F40" s="11">
        <f t="shared" si="0"/>
        <v>4</v>
      </c>
      <c r="G40" s="10">
        <v>46289</v>
      </c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2" t="s">
        <v>56</v>
      </c>
      <c r="AC40" s="12" t="s">
        <v>56</v>
      </c>
      <c r="AD40" s="12" t="s">
        <v>56</v>
      </c>
      <c r="AE40" s="12" t="s">
        <v>56</v>
      </c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</row>
    <row r="41" spans="1:47" ht="15.75" customHeight="1" x14ac:dyDescent="0.3">
      <c r="A41" s="6">
        <v>27</v>
      </c>
      <c r="B41" s="15" t="s">
        <v>80</v>
      </c>
      <c r="C41" s="8" t="s">
        <v>59</v>
      </c>
      <c r="D41" s="9" t="s">
        <v>88</v>
      </c>
      <c r="E41" s="10">
        <v>46286</v>
      </c>
      <c r="F41" s="11">
        <f t="shared" si="0"/>
        <v>4</v>
      </c>
      <c r="G41" s="10">
        <v>46289</v>
      </c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2" t="s">
        <v>56</v>
      </c>
      <c r="AC41" s="12" t="s">
        <v>56</v>
      </c>
      <c r="AD41" s="12" t="s">
        <v>56</v>
      </c>
      <c r="AE41" s="12" t="s">
        <v>56</v>
      </c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</row>
    <row r="42" spans="1:47" ht="15.75" customHeight="1" x14ac:dyDescent="0.3">
      <c r="A42" s="6">
        <v>28</v>
      </c>
      <c r="B42" s="15" t="s">
        <v>80</v>
      </c>
      <c r="C42" s="8" t="s">
        <v>61</v>
      </c>
      <c r="D42" s="9" t="s">
        <v>89</v>
      </c>
      <c r="E42" s="10">
        <v>46286</v>
      </c>
      <c r="F42" s="11">
        <f t="shared" si="0"/>
        <v>4</v>
      </c>
      <c r="G42" s="10">
        <v>46289</v>
      </c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2" t="s">
        <v>56</v>
      </c>
      <c r="AC42" s="12" t="s">
        <v>56</v>
      </c>
      <c r="AD42" s="12" t="s">
        <v>56</v>
      </c>
      <c r="AE42" s="12" t="s">
        <v>56</v>
      </c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</row>
    <row r="43" spans="1:47" ht="15.75" customHeight="1" x14ac:dyDescent="0.3">
      <c r="A43" s="6">
        <v>29</v>
      </c>
      <c r="B43" s="15" t="s">
        <v>80</v>
      </c>
      <c r="C43" s="8" t="s">
        <v>63</v>
      </c>
      <c r="D43" s="9" t="s">
        <v>90</v>
      </c>
      <c r="E43" s="10">
        <v>46286</v>
      </c>
      <c r="F43" s="11">
        <f t="shared" si="0"/>
        <v>5</v>
      </c>
      <c r="G43" s="10">
        <v>46290</v>
      </c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2" t="s">
        <v>56</v>
      </c>
      <c r="AC43" s="12" t="s">
        <v>56</v>
      </c>
      <c r="AD43" s="12" t="s">
        <v>56</v>
      </c>
      <c r="AE43" s="12" t="s">
        <v>56</v>
      </c>
      <c r="AF43" s="12" t="s">
        <v>56</v>
      </c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</row>
    <row r="44" spans="1:47" ht="15.75" customHeight="1" x14ac:dyDescent="0.3">
      <c r="A44" s="6">
        <v>30</v>
      </c>
      <c r="B44" s="15" t="s">
        <v>80</v>
      </c>
      <c r="C44" s="8" t="s">
        <v>54</v>
      </c>
      <c r="D44" s="9" t="s">
        <v>91</v>
      </c>
      <c r="E44" s="10">
        <v>46290</v>
      </c>
      <c r="F44" s="11">
        <f t="shared" si="0"/>
        <v>4</v>
      </c>
      <c r="G44" s="10">
        <v>46293</v>
      </c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2" t="s">
        <v>56</v>
      </c>
      <c r="AG44" s="12" t="s">
        <v>56</v>
      </c>
      <c r="AH44" s="12" t="s">
        <v>56</v>
      </c>
      <c r="AI44" s="12" t="s">
        <v>56</v>
      </c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</row>
    <row r="45" spans="1:47" ht="15.75" customHeight="1" x14ac:dyDescent="0.3">
      <c r="A45" s="6">
        <v>31</v>
      </c>
      <c r="B45" s="15" t="s">
        <v>80</v>
      </c>
      <c r="C45" s="8" t="s">
        <v>57</v>
      </c>
      <c r="D45" s="9" t="s">
        <v>92</v>
      </c>
      <c r="E45" s="10">
        <v>46290</v>
      </c>
      <c r="F45" s="11">
        <f t="shared" si="0"/>
        <v>4</v>
      </c>
      <c r="G45" s="10">
        <v>46293</v>
      </c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2" t="s">
        <v>56</v>
      </c>
      <c r="AG45" s="12" t="s">
        <v>56</v>
      </c>
      <c r="AH45" s="12" t="s">
        <v>56</v>
      </c>
      <c r="AI45" s="12" t="s">
        <v>56</v>
      </c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</row>
    <row r="46" spans="1:47" ht="15.75" customHeight="1" x14ac:dyDescent="0.3">
      <c r="A46" s="6">
        <v>32</v>
      </c>
      <c r="B46" s="15" t="s">
        <v>80</v>
      </c>
      <c r="C46" s="8" t="s">
        <v>59</v>
      </c>
      <c r="D46" s="9" t="s">
        <v>93</v>
      </c>
      <c r="E46" s="10">
        <v>46290</v>
      </c>
      <c r="F46" s="11">
        <f t="shared" si="0"/>
        <v>4</v>
      </c>
      <c r="G46" s="10">
        <v>46293</v>
      </c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2" t="s">
        <v>56</v>
      </c>
      <c r="AG46" s="12" t="s">
        <v>56</v>
      </c>
      <c r="AH46" s="12" t="s">
        <v>56</v>
      </c>
      <c r="AI46" s="12" t="s">
        <v>56</v>
      </c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</row>
    <row r="47" spans="1:47" ht="15.75" customHeight="1" x14ac:dyDescent="0.3">
      <c r="A47" s="6">
        <v>33</v>
      </c>
      <c r="B47" s="15" t="s">
        <v>80</v>
      </c>
      <c r="C47" s="8" t="s">
        <v>61</v>
      </c>
      <c r="D47" s="9" t="s">
        <v>94</v>
      </c>
      <c r="E47" s="10">
        <v>46290</v>
      </c>
      <c r="F47" s="11">
        <f t="shared" ref="F47:F63" si="1">G47-E47+1</f>
        <v>4</v>
      </c>
      <c r="G47" s="10">
        <v>46293</v>
      </c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2" t="s">
        <v>56</v>
      </c>
      <c r="AG47" s="12" t="s">
        <v>56</v>
      </c>
      <c r="AH47" s="12" t="s">
        <v>56</v>
      </c>
      <c r="AI47" s="12" t="s">
        <v>56</v>
      </c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</row>
    <row r="48" spans="1:47" ht="15.75" customHeight="1" x14ac:dyDescent="0.3">
      <c r="A48" s="6">
        <v>34</v>
      </c>
      <c r="B48" s="15" t="s">
        <v>80</v>
      </c>
      <c r="C48" s="8" t="s">
        <v>63</v>
      </c>
      <c r="D48" s="9" t="s">
        <v>95</v>
      </c>
      <c r="E48" s="10">
        <v>46291</v>
      </c>
      <c r="F48" s="11">
        <f t="shared" si="1"/>
        <v>5</v>
      </c>
      <c r="G48" s="10">
        <v>46295</v>
      </c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2" t="s">
        <v>56</v>
      </c>
      <c r="AH48" s="12" t="s">
        <v>56</v>
      </c>
      <c r="AI48" s="12" t="s">
        <v>56</v>
      </c>
      <c r="AJ48" s="12" t="s">
        <v>56</v>
      </c>
      <c r="AK48" s="12" t="s">
        <v>56</v>
      </c>
      <c r="AL48" s="13"/>
      <c r="AM48" s="13"/>
      <c r="AN48" s="13"/>
      <c r="AO48" s="13"/>
      <c r="AP48" s="13"/>
      <c r="AQ48" s="13"/>
      <c r="AR48" s="13"/>
      <c r="AS48" s="13"/>
      <c r="AT48" s="13"/>
      <c r="AU48" s="13"/>
    </row>
    <row r="49" spans="1:47" ht="15.75" customHeight="1" x14ac:dyDescent="0.3">
      <c r="A49" s="6">
        <v>35</v>
      </c>
      <c r="B49" s="16" t="s">
        <v>96</v>
      </c>
      <c r="C49" s="8" t="s">
        <v>61</v>
      </c>
      <c r="D49" s="9" t="s">
        <v>97</v>
      </c>
      <c r="E49" s="10">
        <v>46294</v>
      </c>
      <c r="F49" s="11">
        <f t="shared" si="1"/>
        <v>3</v>
      </c>
      <c r="G49" s="10">
        <v>46296</v>
      </c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2" t="s">
        <v>56</v>
      </c>
      <c r="AK49" s="12" t="s">
        <v>56</v>
      </c>
      <c r="AL49" s="12" t="s">
        <v>56</v>
      </c>
      <c r="AM49" s="13"/>
      <c r="AN49" s="13"/>
      <c r="AO49" s="13"/>
      <c r="AP49" s="13"/>
      <c r="AQ49" s="13"/>
      <c r="AR49" s="13"/>
      <c r="AS49" s="13"/>
      <c r="AT49" s="13"/>
      <c r="AU49" s="13"/>
    </row>
    <row r="50" spans="1:47" ht="15.75" customHeight="1" x14ac:dyDescent="0.3">
      <c r="A50" s="6">
        <v>36</v>
      </c>
      <c r="B50" s="16" t="s">
        <v>96</v>
      </c>
      <c r="C50" s="8" t="s">
        <v>54</v>
      </c>
      <c r="D50" s="9" t="s">
        <v>98</v>
      </c>
      <c r="E50" s="10">
        <v>46294</v>
      </c>
      <c r="F50" s="11">
        <f t="shared" si="1"/>
        <v>4</v>
      </c>
      <c r="G50" s="10">
        <v>46297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2" t="s">
        <v>56</v>
      </c>
      <c r="AK50" s="12" t="s">
        <v>56</v>
      </c>
      <c r="AL50" s="12" t="s">
        <v>56</v>
      </c>
      <c r="AM50" s="12" t="s">
        <v>56</v>
      </c>
      <c r="AN50" s="13"/>
      <c r="AO50" s="13"/>
      <c r="AP50" s="13"/>
      <c r="AQ50" s="13"/>
      <c r="AR50" s="13"/>
      <c r="AS50" s="13"/>
      <c r="AT50" s="13"/>
      <c r="AU50" s="13"/>
    </row>
    <row r="51" spans="1:47" ht="15.75" customHeight="1" x14ac:dyDescent="0.3">
      <c r="A51" s="6">
        <v>37</v>
      </c>
      <c r="B51" s="16" t="s">
        <v>96</v>
      </c>
      <c r="C51" s="8" t="s">
        <v>57</v>
      </c>
      <c r="D51" s="9" t="s">
        <v>99</v>
      </c>
      <c r="E51" s="10">
        <v>46294</v>
      </c>
      <c r="F51" s="11">
        <f t="shared" si="1"/>
        <v>4</v>
      </c>
      <c r="G51" s="10">
        <v>46297</v>
      </c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2" t="s">
        <v>56</v>
      </c>
      <c r="AK51" s="12" t="s">
        <v>56</v>
      </c>
      <c r="AL51" s="12" t="s">
        <v>56</v>
      </c>
      <c r="AM51" s="12" t="s">
        <v>56</v>
      </c>
      <c r="AN51" s="13"/>
      <c r="AO51" s="13"/>
      <c r="AP51" s="13"/>
      <c r="AQ51" s="13"/>
      <c r="AR51" s="13"/>
      <c r="AS51" s="13"/>
      <c r="AT51" s="13"/>
      <c r="AU51" s="13"/>
    </row>
    <row r="52" spans="1:47" ht="15.75" customHeight="1" x14ac:dyDescent="0.3">
      <c r="A52" s="6">
        <v>38</v>
      </c>
      <c r="B52" s="16" t="s">
        <v>96</v>
      </c>
      <c r="C52" s="8" t="s">
        <v>59</v>
      </c>
      <c r="D52" s="9" t="s">
        <v>100</v>
      </c>
      <c r="E52" s="10">
        <v>46294</v>
      </c>
      <c r="F52" s="11">
        <f t="shared" si="1"/>
        <v>4</v>
      </c>
      <c r="G52" s="10">
        <v>46297</v>
      </c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2" t="s">
        <v>56</v>
      </c>
      <c r="AK52" s="12" t="s">
        <v>56</v>
      </c>
      <c r="AL52" s="12" t="s">
        <v>56</v>
      </c>
      <c r="AM52" s="12" t="s">
        <v>56</v>
      </c>
      <c r="AN52" s="13"/>
      <c r="AO52" s="13"/>
      <c r="AP52" s="13"/>
      <c r="AQ52" s="13"/>
      <c r="AR52" s="13"/>
      <c r="AS52" s="13"/>
      <c r="AT52" s="13"/>
      <c r="AU52" s="13"/>
    </row>
    <row r="53" spans="1:47" ht="15.75" customHeight="1" x14ac:dyDescent="0.3">
      <c r="A53" s="6">
        <v>39</v>
      </c>
      <c r="B53" s="16" t="s">
        <v>96</v>
      </c>
      <c r="C53" s="8" t="s">
        <v>63</v>
      </c>
      <c r="D53" s="9" t="s">
        <v>101</v>
      </c>
      <c r="E53" s="10">
        <v>46296</v>
      </c>
      <c r="F53" s="11">
        <f t="shared" si="1"/>
        <v>5</v>
      </c>
      <c r="G53" s="10">
        <v>46300</v>
      </c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2" t="s">
        <v>56</v>
      </c>
      <c r="AM53" s="12" t="s">
        <v>56</v>
      </c>
      <c r="AN53" s="12" t="s">
        <v>56</v>
      </c>
      <c r="AO53" s="12" t="s">
        <v>56</v>
      </c>
      <c r="AP53" s="12" t="s">
        <v>56</v>
      </c>
      <c r="AQ53" s="13"/>
      <c r="AR53" s="13"/>
      <c r="AS53" s="13"/>
      <c r="AT53" s="13"/>
      <c r="AU53" s="13"/>
    </row>
    <row r="54" spans="1:47" ht="15.75" customHeight="1" x14ac:dyDescent="0.3">
      <c r="A54" s="6">
        <v>40</v>
      </c>
      <c r="B54" s="16" t="s">
        <v>96</v>
      </c>
      <c r="C54" s="8" t="s">
        <v>61</v>
      </c>
      <c r="D54" s="9" t="s">
        <v>102</v>
      </c>
      <c r="E54" s="10">
        <v>46297</v>
      </c>
      <c r="F54" s="11">
        <f t="shared" si="1"/>
        <v>3</v>
      </c>
      <c r="G54" s="10">
        <v>46299</v>
      </c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2" t="s">
        <v>56</v>
      </c>
      <c r="AN54" s="12" t="s">
        <v>56</v>
      </c>
      <c r="AO54" s="12" t="s">
        <v>56</v>
      </c>
      <c r="AP54" s="13"/>
      <c r="AQ54" s="13"/>
      <c r="AR54" s="13"/>
      <c r="AS54" s="13"/>
      <c r="AT54" s="13"/>
      <c r="AU54" s="13"/>
    </row>
    <row r="55" spans="1:47" ht="15.75" customHeight="1" x14ac:dyDescent="0.3">
      <c r="A55" s="6">
        <v>41</v>
      </c>
      <c r="B55" s="16" t="s">
        <v>96</v>
      </c>
      <c r="C55" s="8" t="s">
        <v>54</v>
      </c>
      <c r="D55" s="9" t="s">
        <v>103</v>
      </c>
      <c r="E55" s="10">
        <v>46298</v>
      </c>
      <c r="F55" s="11">
        <f t="shared" si="1"/>
        <v>4</v>
      </c>
      <c r="G55" s="10">
        <v>46301</v>
      </c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2" t="s">
        <v>56</v>
      </c>
      <c r="AO55" s="12" t="s">
        <v>56</v>
      </c>
      <c r="AP55" s="12" t="s">
        <v>56</v>
      </c>
      <c r="AQ55" s="12" t="s">
        <v>56</v>
      </c>
      <c r="AR55" s="13"/>
      <c r="AS55" s="13"/>
      <c r="AT55" s="13"/>
      <c r="AU55" s="13"/>
    </row>
    <row r="56" spans="1:47" ht="15.75" customHeight="1" x14ac:dyDescent="0.3">
      <c r="A56" s="6">
        <v>42</v>
      </c>
      <c r="B56" s="16" t="s">
        <v>96</v>
      </c>
      <c r="C56" s="8" t="s">
        <v>57</v>
      </c>
      <c r="D56" s="9" t="s">
        <v>104</v>
      </c>
      <c r="E56" s="10">
        <v>46298</v>
      </c>
      <c r="F56" s="11">
        <f t="shared" si="1"/>
        <v>4</v>
      </c>
      <c r="G56" s="10">
        <v>46301</v>
      </c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2" t="s">
        <v>56</v>
      </c>
      <c r="AO56" s="12" t="s">
        <v>56</v>
      </c>
      <c r="AP56" s="12" t="s">
        <v>56</v>
      </c>
      <c r="AQ56" s="12" t="s">
        <v>56</v>
      </c>
      <c r="AR56" s="13"/>
      <c r="AS56" s="13"/>
      <c r="AT56" s="13"/>
      <c r="AU56" s="13"/>
    </row>
    <row r="57" spans="1:47" ht="15.75" customHeight="1" x14ac:dyDescent="0.3">
      <c r="A57" s="6">
        <v>43</v>
      </c>
      <c r="B57" s="16" t="s">
        <v>96</v>
      </c>
      <c r="C57" s="8" t="s">
        <v>59</v>
      </c>
      <c r="D57" s="9" t="s">
        <v>105</v>
      </c>
      <c r="E57" s="10">
        <v>46298</v>
      </c>
      <c r="F57" s="11">
        <f t="shared" si="1"/>
        <v>4</v>
      </c>
      <c r="G57" s="10">
        <v>46301</v>
      </c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2" t="s">
        <v>56</v>
      </c>
      <c r="AO57" s="12" t="s">
        <v>56</v>
      </c>
      <c r="AP57" s="12" t="s">
        <v>56</v>
      </c>
      <c r="AQ57" s="12" t="s">
        <v>56</v>
      </c>
      <c r="AR57" s="13"/>
      <c r="AS57" s="13"/>
      <c r="AT57" s="13"/>
      <c r="AU57" s="13"/>
    </row>
    <row r="58" spans="1:47" ht="15.75" customHeight="1" x14ac:dyDescent="0.3">
      <c r="A58" s="6">
        <v>44</v>
      </c>
      <c r="B58" s="17" t="s">
        <v>106</v>
      </c>
      <c r="C58" s="8" t="s">
        <v>61</v>
      </c>
      <c r="D58" s="9" t="s">
        <v>107</v>
      </c>
      <c r="E58" s="10">
        <v>46300</v>
      </c>
      <c r="F58" s="11">
        <f t="shared" si="1"/>
        <v>3</v>
      </c>
      <c r="G58" s="10">
        <v>46302</v>
      </c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2" t="s">
        <v>56</v>
      </c>
      <c r="AQ58" s="12" t="s">
        <v>56</v>
      </c>
      <c r="AR58" s="12" t="s">
        <v>56</v>
      </c>
      <c r="AS58" s="13"/>
      <c r="AT58" s="13"/>
      <c r="AU58" s="13"/>
    </row>
    <row r="59" spans="1:47" ht="15.75" customHeight="1" x14ac:dyDescent="0.3">
      <c r="A59" s="6">
        <v>45</v>
      </c>
      <c r="B59" s="17" t="s">
        <v>106</v>
      </c>
      <c r="C59" s="8" t="s">
        <v>63</v>
      </c>
      <c r="D59" s="9" t="s">
        <v>108</v>
      </c>
      <c r="E59" s="10">
        <v>46301</v>
      </c>
      <c r="F59" s="11">
        <f t="shared" si="1"/>
        <v>5</v>
      </c>
      <c r="G59" s="10">
        <v>46305</v>
      </c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2" t="s">
        <v>56</v>
      </c>
      <c r="AR59" s="12" t="s">
        <v>56</v>
      </c>
      <c r="AS59" s="12" t="s">
        <v>56</v>
      </c>
      <c r="AT59" s="12" t="s">
        <v>56</v>
      </c>
      <c r="AU59" s="12" t="s">
        <v>56</v>
      </c>
    </row>
    <row r="60" spans="1:47" ht="15.75" customHeight="1" x14ac:dyDescent="0.3">
      <c r="A60" s="6">
        <v>46</v>
      </c>
      <c r="B60" s="17" t="s">
        <v>106</v>
      </c>
      <c r="C60" s="8" t="s">
        <v>54</v>
      </c>
      <c r="D60" s="9" t="s">
        <v>109</v>
      </c>
      <c r="E60" s="10">
        <v>46302</v>
      </c>
      <c r="F60" s="11">
        <f t="shared" si="1"/>
        <v>4</v>
      </c>
      <c r="G60" s="10">
        <v>46305</v>
      </c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2" t="s">
        <v>56</v>
      </c>
      <c r="AS60" s="12" t="s">
        <v>56</v>
      </c>
      <c r="AT60" s="12" t="s">
        <v>56</v>
      </c>
      <c r="AU60" s="12" t="s">
        <v>56</v>
      </c>
    </row>
    <row r="61" spans="1:47" ht="15.75" customHeight="1" x14ac:dyDescent="0.3">
      <c r="A61" s="6">
        <v>47</v>
      </c>
      <c r="B61" s="17" t="s">
        <v>106</v>
      </c>
      <c r="C61" s="8" t="s">
        <v>57</v>
      </c>
      <c r="D61" s="9" t="s">
        <v>110</v>
      </c>
      <c r="E61" s="10">
        <v>46302</v>
      </c>
      <c r="F61" s="11">
        <f t="shared" si="1"/>
        <v>4</v>
      </c>
      <c r="G61" s="10">
        <v>46305</v>
      </c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2" t="s">
        <v>56</v>
      </c>
      <c r="AS61" s="12" t="s">
        <v>56</v>
      </c>
      <c r="AT61" s="12" t="s">
        <v>56</v>
      </c>
      <c r="AU61" s="12" t="s">
        <v>56</v>
      </c>
    </row>
    <row r="62" spans="1:47" ht="15.75" customHeight="1" x14ac:dyDescent="0.3">
      <c r="A62" s="6">
        <v>48</v>
      </c>
      <c r="B62" s="17" t="s">
        <v>106</v>
      </c>
      <c r="C62" s="8" t="s">
        <v>59</v>
      </c>
      <c r="D62" s="9" t="s">
        <v>111</v>
      </c>
      <c r="E62" s="10">
        <v>46302</v>
      </c>
      <c r="F62" s="11">
        <f t="shared" si="1"/>
        <v>4</v>
      </c>
      <c r="G62" s="10">
        <v>46305</v>
      </c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2" t="s">
        <v>56</v>
      </c>
      <c r="AS62" s="12" t="s">
        <v>56</v>
      </c>
      <c r="AT62" s="12" t="s">
        <v>56</v>
      </c>
      <c r="AU62" s="12" t="s">
        <v>56</v>
      </c>
    </row>
    <row r="63" spans="1:47" ht="15.75" customHeight="1" x14ac:dyDescent="0.3">
      <c r="A63" s="6">
        <v>49</v>
      </c>
      <c r="B63" s="17" t="s">
        <v>106</v>
      </c>
      <c r="C63" s="8" t="s">
        <v>61</v>
      </c>
      <c r="D63" s="9" t="s">
        <v>112</v>
      </c>
      <c r="E63" s="10">
        <v>46303</v>
      </c>
      <c r="F63" s="11">
        <f t="shared" si="1"/>
        <v>3</v>
      </c>
      <c r="G63" s="10">
        <v>46305</v>
      </c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2" t="s">
        <v>56</v>
      </c>
      <c r="AT63" s="12" t="s">
        <v>56</v>
      </c>
      <c r="AU63" s="12" t="s">
        <v>56</v>
      </c>
    </row>
  </sheetData>
  <autoFilter ref="A14:AT63" xr:uid="{00000000-0009-0000-0000-000000000000}"/>
  <mergeCells count="10">
    <mergeCell ref="A10:B10"/>
    <mergeCell ref="C10:D10"/>
    <mergeCell ref="E10:F10"/>
    <mergeCell ref="G10:H10"/>
    <mergeCell ref="A1:AU1"/>
    <mergeCell ref="A2:AU7"/>
    <mergeCell ref="A9:B9"/>
    <mergeCell ref="C9:D9"/>
    <mergeCell ref="E9:F9"/>
    <mergeCell ref="G9:H9"/>
  </mergeCells>
  <dataValidations count="1">
    <dataValidation type="list" allowBlank="1" sqref="G15:AT63" xr:uid="{00000000-0002-0000-0000-000000000000}">
      <formula1>"Chưa làm,Đang làm,Hoàn thành,Trễ hạn"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Quản lý tiến độ</vt:lpstr>
      <vt:lpstr>'Quản lý tiến độ'!Print_Titles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thinh thinh</cp:lastModifiedBy>
  <cp:revision>0</cp:revision>
  <dcterms:created xsi:type="dcterms:W3CDTF">2026-09-08T08:27:45Z</dcterms:created>
  <dcterms:modified xsi:type="dcterms:W3CDTF">2026-09-13T06:49:59Z</dcterms:modified>
  <dc:language>en-US</dc:language>
</cp:coreProperties>
</file>